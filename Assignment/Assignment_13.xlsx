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404f92285ac7732/Desktop/"/>
    </mc:Choice>
  </mc:AlternateContent>
  <xr:revisionPtr revIDLastSave="0" documentId="8_{AFD0AB5B-0C09-4002-A756-8102D928658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tudent_Data" sheetId="1" r:id="rId1"/>
    <sheet name="Marks_Analysis" sheetId="2" r:id="rId2"/>
    <sheet name="Charts" sheetId="3" r:id="rId3"/>
  </sheets>
  <definedNames>
    <definedName name="_xlchart.v1.0" hidden="1">Marks_Analysis!$H$2</definedName>
    <definedName name="_xlchart.v1.1" hidden="1">Marks_Analysis!$H$3:$H$17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" i="1" l="1"/>
  <c r="O11" i="1"/>
  <c r="K3" i="1"/>
  <c r="K4" i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3" i="2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J5" i="2"/>
  <c r="K5" i="2" s="1"/>
  <c r="J4" i="2"/>
  <c r="K4" i="2" s="1"/>
  <c r="J3" i="2"/>
  <c r="K3" i="2" s="1"/>
  <c r="N7" i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4" i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3" i="1"/>
  <c r="O5" i="2" l="1"/>
  <c r="O6" i="2"/>
</calcChain>
</file>

<file path=xl/sharedStrings.xml><?xml version="1.0" encoding="utf-8"?>
<sst xmlns="http://schemas.openxmlformats.org/spreadsheetml/2006/main" count="171" uniqueCount="87">
  <si>
    <t>Name</t>
  </si>
  <si>
    <t>Roll No</t>
  </si>
  <si>
    <t>Class</t>
  </si>
  <si>
    <t>City</t>
  </si>
  <si>
    <t>Rahul Verma</t>
  </si>
  <si>
    <t>Neha Sharma</t>
  </si>
  <si>
    <t>Jaipur</t>
  </si>
  <si>
    <t>Aman Khan</t>
  </si>
  <si>
    <t>Lucknow</t>
  </si>
  <si>
    <t>Pooja Patel</t>
  </si>
  <si>
    <t>Surat</t>
  </si>
  <si>
    <t>Suresh Das</t>
  </si>
  <si>
    <t>Ankit Singh</t>
  </si>
  <si>
    <t>Patna</t>
  </si>
  <si>
    <t>Riya Gupta</t>
  </si>
  <si>
    <t>Noida</t>
  </si>
  <si>
    <t>Mohit Jain</t>
  </si>
  <si>
    <t>Indore</t>
  </si>
  <si>
    <t>Sneha Iyer</t>
  </si>
  <si>
    <t>Chennai</t>
  </si>
  <si>
    <t>Karan Malhotra</t>
  </si>
  <si>
    <t>Chandigarh</t>
  </si>
  <si>
    <t>Aditi Rao</t>
  </si>
  <si>
    <t>Bengaluru</t>
  </si>
  <si>
    <t>Nikhil Pawar</t>
  </si>
  <si>
    <t>Pune</t>
  </si>
  <si>
    <t>Simran Kaur</t>
  </si>
  <si>
    <t>Arjun Mehta</t>
  </si>
  <si>
    <t>Mumbai</t>
  </si>
  <si>
    <t>Kavya Nair</t>
  </si>
  <si>
    <t>Kochi</t>
  </si>
  <si>
    <t>Marks (ENGLISH)</t>
  </si>
  <si>
    <t>Marks (MATHS)</t>
  </si>
  <si>
    <t>Marks (SCIENCE)</t>
  </si>
  <si>
    <t>Student Result Management</t>
  </si>
  <si>
    <t>First Name</t>
  </si>
  <si>
    <t>Last Name</t>
  </si>
  <si>
    <t>Rahul</t>
  </si>
  <si>
    <t>Verma</t>
  </si>
  <si>
    <t>Sharma</t>
  </si>
  <si>
    <t>Khan</t>
  </si>
  <si>
    <t>Patel</t>
  </si>
  <si>
    <t>Das</t>
  </si>
  <si>
    <t>Singh</t>
  </si>
  <si>
    <t>Gupta</t>
  </si>
  <si>
    <t>Jain</t>
  </si>
  <si>
    <t>Iyer</t>
  </si>
  <si>
    <t>Malhotra</t>
  </si>
  <si>
    <t>Rao</t>
  </si>
  <si>
    <t>Pawar</t>
  </si>
  <si>
    <t>Kaur</t>
  </si>
  <si>
    <t>Mehta</t>
  </si>
  <si>
    <t>Nair</t>
  </si>
  <si>
    <t>Neha</t>
  </si>
  <si>
    <t>Aman</t>
  </si>
  <si>
    <t>Pooja</t>
  </si>
  <si>
    <t>Suresh</t>
  </si>
  <si>
    <t>Ankit</t>
  </si>
  <si>
    <t>Riya</t>
  </si>
  <si>
    <t>Mohit</t>
  </si>
  <si>
    <t>Sneha</t>
  </si>
  <si>
    <t>Karan</t>
  </si>
  <si>
    <t>Aditi</t>
  </si>
  <si>
    <t>Nikhil</t>
  </si>
  <si>
    <t>Simran</t>
  </si>
  <si>
    <t>Arjun</t>
  </si>
  <si>
    <t>Kavya</t>
  </si>
  <si>
    <t>Total</t>
  </si>
  <si>
    <t>Status</t>
  </si>
  <si>
    <t>Delhi Students</t>
  </si>
  <si>
    <t>Delhi</t>
  </si>
  <si>
    <t>Average Marks</t>
  </si>
  <si>
    <t>Max Marks</t>
  </si>
  <si>
    <t>Min Marks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</si>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</sst>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2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Marks_Analysis!$H$2</c:f>
              <c:strCache>
                <c:ptCount val="1"/>
                <c:pt idx="0">
                  <c:v>Marks (MATHS)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Marks_Analysis!$H$3:$H$17</c:f>
              <c:numCache>
                <c:formatCode>General</c:formatCode>
                <c:ptCount val="15"/>
                <c:pt idx="0">
                  <c:v>82</c:v>
                </c:pt>
                <c:pt idx="1">
                  <c:v>10</c:v>
                </c:pt>
                <c:pt idx="2">
                  <c:v>92</c:v>
                </c:pt>
                <c:pt idx="3">
                  <c:v>10</c:v>
                </c:pt>
                <c:pt idx="4">
                  <c:v>84</c:v>
                </c:pt>
                <c:pt idx="5">
                  <c:v>10</c:v>
                </c:pt>
                <c:pt idx="6">
                  <c:v>89</c:v>
                </c:pt>
                <c:pt idx="7">
                  <c:v>77</c:v>
                </c:pt>
                <c:pt idx="8">
                  <c:v>88</c:v>
                </c:pt>
                <c:pt idx="9">
                  <c:v>79</c:v>
                </c:pt>
                <c:pt idx="10">
                  <c:v>83</c:v>
                </c:pt>
                <c:pt idx="11">
                  <c:v>91</c:v>
                </c:pt>
                <c:pt idx="12">
                  <c:v>85</c:v>
                </c:pt>
                <c:pt idx="13">
                  <c:v>90</c:v>
                </c:pt>
                <c:pt idx="14">
                  <c:v>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36-4A3C-BE1C-1B42A1224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0000688"/>
        <c:axId val="1000001168"/>
      </c:barChart>
      <c:catAx>
        <c:axId val="1000000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01168"/>
        <c:crosses val="autoZero"/>
        <c:auto val="1"/>
        <c:lblAlgn val="ctr"/>
        <c:lblOffset val="100"/>
        <c:noMultiLvlLbl val="0"/>
      </c:catAx>
      <c:valAx>
        <c:axId val="100000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0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79B-41F9-B9B6-B2559797F3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79B-41F9-B9B6-B2559797F3F7}"/>
              </c:ext>
            </c:extLst>
          </c:dPt>
          <c:cat>
            <c:strRef>
              <c:f>Student_Data!$N$11:$N$12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Student_Data!$O$11:$O$12</c:f>
              <c:numCache>
                <c:formatCode>General</c:formatCode>
                <c:ptCount val="2"/>
                <c:pt idx="0">
                  <c:v>13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9B-41F9-B9B6-B2559797F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9525</xdr:rowOff>
    </xdr:from>
    <xdr:to>
      <xdr:col>5</xdr:col>
      <xdr:colOff>609600</xdr:colOff>
      <xdr:row>13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B9AA17-CC3F-4D60-B1FA-8441927966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</xdr:row>
      <xdr:rowOff>247650</xdr:rowOff>
    </xdr:from>
    <xdr:to>
      <xdr:col>10</xdr:col>
      <xdr:colOff>609600</xdr:colOff>
      <xdr:row>13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7EE767-3095-42A4-B0D2-D071F398A5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AA25E4-6E94-47DF-A34A-8F546121C6A8}" name="Table3" displayName="Table3" ref="A1:K17" totalsRowShown="0" headerRowDxfId="16" dataDxfId="17" headerRowBorderDxfId="30" tableBorderDxfId="31" totalsRowBorderDxfId="29">
  <autoFilter ref="A1:K17" xr:uid="{8AAA25E4-6E94-47DF-A34A-8F546121C6A8}"/>
  <tableColumns count="11">
    <tableColumn id="1" xr3:uid="{0055EBF7-B13A-4E20-A47D-B0F08DD4B3D5}" name="Student Result Management" dataDxfId="28"/>
    <tableColumn id="2" xr3:uid="{1131DF11-E948-419E-9158-DD5F303E2211}" name="Column1" dataDxfId="27"/>
    <tableColumn id="3" xr3:uid="{A56B1155-1CF3-45A9-AC7D-CD74D344327C}" name="Column2" dataDxfId="26"/>
    <tableColumn id="4" xr3:uid="{975799F6-6D17-42E0-B814-FD20B719AD15}" name="Column3" dataDxfId="25"/>
    <tableColumn id="5" xr3:uid="{3DC79148-AAD8-47CE-A413-E2C23FF13232}" name="Column4" dataDxfId="24"/>
    <tableColumn id="6" xr3:uid="{67C1AD93-914E-4D4D-8EFE-D524007DB8C8}" name="Column5" dataDxfId="23"/>
    <tableColumn id="7" xr3:uid="{0872B564-683C-4E62-9878-681C5AD2F7BC}" name="Column6" dataDxfId="22"/>
    <tableColumn id="8" xr3:uid="{888973B2-C2F2-4E46-B159-383DF781D0E7}" name="Column7" dataDxfId="21"/>
    <tableColumn id="9" xr3:uid="{4EA1CA3C-9690-4264-91BA-6E9F06ACB853}" name="Column8" dataDxfId="20"/>
    <tableColumn id="10" xr3:uid="{22E30663-638F-4FD4-9740-EBE865D07495}" name="Column9" dataDxfId="19">
      <calculatedColumnFormula>SUM(G2:I2)</calculatedColumnFormula>
    </tableColumn>
    <tableColumn id="11" xr3:uid="{6E82CA77-222A-424E-8A06-B70588D700D1}" name="Column10" dataDxfId="18">
      <calculatedColumnFormula>IF(J2&gt;=120,"PASS","FAIL")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ADAA55-F5B1-4785-915F-180184724F48}" name="Table4" displayName="Table4" ref="A1:L17" totalsRowShown="0" headerRowDxfId="1" dataDxfId="2" tableBorderDxfId="15">
  <autoFilter ref="A1:L17" xr:uid="{26ADAA55-F5B1-4785-915F-180184724F48}"/>
  <tableColumns count="12">
    <tableColumn id="1" xr3:uid="{629AD421-2D22-4B39-A29B-10011652ABD3}" name="Student Result Management" dataDxfId="14"/>
    <tableColumn id="2" xr3:uid="{944F4CC6-BF64-4E88-B025-486102A5C42D}" name="Column1" dataDxfId="13"/>
    <tableColumn id="3" xr3:uid="{F3A02C48-5F91-4DD7-941D-F314FD22A822}" name="Column2" dataDxfId="12"/>
    <tableColumn id="4" xr3:uid="{78759155-06C7-42D9-A67E-70FFB86EA59B}" name="Column3" dataDxfId="11"/>
    <tableColumn id="5" xr3:uid="{BECD571F-630E-446C-83D7-C47EAA9FC450}" name="Column4" dataDxfId="10"/>
    <tableColumn id="6" xr3:uid="{CAD863AD-72F2-439E-8D1E-2D1FAF974109}" name="Column5" dataDxfId="9"/>
    <tableColumn id="7" xr3:uid="{D30631A0-51D2-43A3-A928-058CF60B4A9C}" name="Column6" dataDxfId="8"/>
    <tableColumn id="8" xr3:uid="{1B647658-AD8F-49A8-9A88-8917EC2F3D3B}" name="Column7" dataDxfId="7"/>
    <tableColumn id="9" xr3:uid="{7C2439CB-BE3E-4B1D-A0EB-0021D8BBBCE7}" name="Column8" dataDxfId="6"/>
    <tableColumn id="10" xr3:uid="{01E75726-D2B7-43A3-A207-315C801A5AB6}" name="Column9" dataDxfId="5">
      <calculatedColumnFormula>SUM(G2:I2)</calculatedColumnFormula>
    </tableColumn>
    <tableColumn id="11" xr3:uid="{85D8188D-D433-45FD-A12C-DE9A240874BC}" name="Column10" dataDxfId="4">
      <calculatedColumnFormula>IF(J2&gt;=120,"PASS","FAIL")</calculatedColumnFormula>
    </tableColumn>
    <tableColumn id="12" xr3:uid="{591821B9-1282-466A-B472-5AAE1D195107}" name="Column11" dataDxfId="3">
      <calculatedColumnFormula>AVERAGE(G2:I2)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zoomScale="51" zoomScaleNormal="51" workbookViewId="0">
      <selection activeCell="D11" sqref="D11"/>
    </sheetView>
  </sheetViews>
  <sheetFormatPr defaultRowHeight="20.25" x14ac:dyDescent="0.3"/>
  <cols>
    <col min="1" max="1" width="37.08203125" customWidth="1"/>
    <col min="2" max="3" width="17.75" customWidth="1"/>
    <col min="4" max="10" width="13.25" customWidth="1"/>
    <col min="11" max="11" width="14.6640625" customWidth="1"/>
  </cols>
  <sheetData>
    <row r="1" spans="1:15" ht="57.95" customHeight="1" x14ac:dyDescent="0.3">
      <c r="A1" s="9" t="s">
        <v>34</v>
      </c>
      <c r="B1" s="9" t="s">
        <v>74</v>
      </c>
      <c r="C1" s="9" t="s">
        <v>75</v>
      </c>
      <c r="D1" s="9" t="s">
        <v>76</v>
      </c>
      <c r="E1" s="9" t="s">
        <v>77</v>
      </c>
      <c r="F1" s="9" t="s">
        <v>78</v>
      </c>
      <c r="G1" s="9" t="s">
        <v>79</v>
      </c>
      <c r="H1" s="9" t="s">
        <v>80</v>
      </c>
      <c r="I1" s="9" t="s">
        <v>81</v>
      </c>
      <c r="J1" s="9" t="s">
        <v>82</v>
      </c>
      <c r="K1" s="9" t="s">
        <v>83</v>
      </c>
    </row>
    <row r="2" spans="1:15" ht="57.95" customHeight="1" x14ac:dyDescent="0.3">
      <c r="A2" s="10" t="s">
        <v>0</v>
      </c>
      <c r="B2" s="3" t="s">
        <v>35</v>
      </c>
      <c r="C2" s="3" t="s">
        <v>36</v>
      </c>
      <c r="D2" s="3" t="s">
        <v>1</v>
      </c>
      <c r="E2" s="3" t="s">
        <v>2</v>
      </c>
      <c r="F2" s="3" t="s">
        <v>3</v>
      </c>
      <c r="G2" s="1" t="s">
        <v>31</v>
      </c>
      <c r="H2" s="1" t="s">
        <v>32</v>
      </c>
      <c r="I2" s="1" t="s">
        <v>33</v>
      </c>
      <c r="J2" s="7" t="s">
        <v>67</v>
      </c>
      <c r="K2" s="7" t="s">
        <v>68</v>
      </c>
    </row>
    <row r="3" spans="1:15" ht="35.450000000000003" customHeight="1" x14ac:dyDescent="0.3">
      <c r="A3" s="11" t="s">
        <v>4</v>
      </c>
      <c r="B3" s="2" t="s">
        <v>37</v>
      </c>
      <c r="C3" s="2" t="s">
        <v>38</v>
      </c>
      <c r="D3" s="2">
        <v>1</v>
      </c>
      <c r="E3" s="2">
        <v>9</v>
      </c>
      <c r="F3" s="2" t="s">
        <v>70</v>
      </c>
      <c r="G3" s="2">
        <v>78</v>
      </c>
      <c r="H3" s="2">
        <v>82</v>
      </c>
      <c r="I3" s="2">
        <v>75</v>
      </c>
      <c r="J3" s="8">
        <f>SUM(G3:I3)</f>
        <v>235</v>
      </c>
      <c r="K3" s="8" t="str">
        <f>IF(J4&gt;=120,"PASS","FAIL")</f>
        <v>PASS</v>
      </c>
    </row>
    <row r="4" spans="1:15" ht="35.450000000000003" customHeight="1" x14ac:dyDescent="0.3">
      <c r="A4" s="11" t="s">
        <v>5</v>
      </c>
      <c r="B4" s="2" t="s">
        <v>53</v>
      </c>
      <c r="C4" s="2" t="s">
        <v>39</v>
      </c>
      <c r="D4" s="2">
        <v>2</v>
      </c>
      <c r="E4" s="2">
        <v>9</v>
      </c>
      <c r="F4" s="2" t="s">
        <v>6</v>
      </c>
      <c r="G4" s="2">
        <v>85</v>
      </c>
      <c r="H4" s="2">
        <v>10</v>
      </c>
      <c r="I4" s="2">
        <v>88</v>
      </c>
      <c r="J4" s="8">
        <f t="shared" ref="J4:J17" si="0">SUM(G4:I4)</f>
        <v>183</v>
      </c>
      <c r="K4" s="8" t="str">
        <f>IF(J4&gt;=120,"PASS","FAIL")</f>
        <v>PASS</v>
      </c>
    </row>
    <row r="5" spans="1:15" ht="35.450000000000003" customHeight="1" x14ac:dyDescent="0.3">
      <c r="A5" s="11" t="s">
        <v>7</v>
      </c>
      <c r="B5" s="2" t="s">
        <v>54</v>
      </c>
      <c r="C5" s="2" t="s">
        <v>40</v>
      </c>
      <c r="D5" s="2">
        <v>3</v>
      </c>
      <c r="E5" s="2">
        <v>9</v>
      </c>
      <c r="F5" s="2" t="s">
        <v>8</v>
      </c>
      <c r="G5" s="2">
        <v>90</v>
      </c>
      <c r="H5" s="2">
        <v>92</v>
      </c>
      <c r="I5" s="2">
        <v>86</v>
      </c>
      <c r="J5" s="8">
        <f t="shared" si="0"/>
        <v>268</v>
      </c>
      <c r="K5" s="8" t="str">
        <f t="shared" ref="K4:K17" si="1">IF(J5&gt;=120,"PASS","FAIL")</f>
        <v>PASS</v>
      </c>
    </row>
    <row r="6" spans="1:15" ht="35.450000000000003" customHeight="1" x14ac:dyDescent="0.3">
      <c r="A6" s="11" t="s">
        <v>9</v>
      </c>
      <c r="B6" s="2" t="s">
        <v>55</v>
      </c>
      <c r="C6" s="2" t="s">
        <v>41</v>
      </c>
      <c r="D6" s="2">
        <v>4</v>
      </c>
      <c r="E6" s="2">
        <v>9</v>
      </c>
      <c r="F6" s="2" t="s">
        <v>10</v>
      </c>
      <c r="G6" s="2">
        <v>50</v>
      </c>
      <c r="H6" s="2">
        <v>10</v>
      </c>
      <c r="I6" s="2">
        <v>40</v>
      </c>
      <c r="J6" s="8">
        <f t="shared" si="0"/>
        <v>100</v>
      </c>
      <c r="K6" s="8" t="str">
        <f t="shared" si="1"/>
        <v>FAIL</v>
      </c>
      <c r="N6" s="5" t="s">
        <v>69</v>
      </c>
      <c r="O6" s="5"/>
    </row>
    <row r="7" spans="1:15" ht="35.450000000000003" customHeight="1" x14ac:dyDescent="0.3">
      <c r="A7" s="11" t="s">
        <v>11</v>
      </c>
      <c r="B7" s="2" t="s">
        <v>56</v>
      </c>
      <c r="C7" s="2" t="s">
        <v>42</v>
      </c>
      <c r="D7" s="2">
        <v>5</v>
      </c>
      <c r="E7" s="2">
        <v>9</v>
      </c>
      <c r="F7" s="2" t="s">
        <v>70</v>
      </c>
      <c r="G7" s="2">
        <v>88</v>
      </c>
      <c r="H7" s="2">
        <v>84</v>
      </c>
      <c r="I7" s="2">
        <v>79</v>
      </c>
      <c r="J7" s="8">
        <f t="shared" si="0"/>
        <v>251</v>
      </c>
      <c r="K7" s="8" t="str">
        <f t="shared" si="1"/>
        <v>PASS</v>
      </c>
      <c r="N7" s="6">
        <f>COUNTIF(F3:F17,"Delhi")</f>
        <v>3</v>
      </c>
      <c r="O7" s="6"/>
    </row>
    <row r="8" spans="1:15" ht="35.450000000000003" customHeight="1" x14ac:dyDescent="0.3">
      <c r="A8" s="11" t="s">
        <v>12</v>
      </c>
      <c r="B8" s="2" t="s">
        <v>57</v>
      </c>
      <c r="C8" s="2" t="s">
        <v>43</v>
      </c>
      <c r="D8" s="2">
        <v>6</v>
      </c>
      <c r="E8" s="2">
        <v>9</v>
      </c>
      <c r="F8" s="2" t="s">
        <v>13</v>
      </c>
      <c r="G8" s="2">
        <v>20</v>
      </c>
      <c r="H8" s="2">
        <v>10</v>
      </c>
      <c r="I8" s="2">
        <v>20</v>
      </c>
      <c r="J8" s="8">
        <f t="shared" si="0"/>
        <v>50</v>
      </c>
      <c r="K8" s="8" t="str">
        <f t="shared" si="1"/>
        <v>FAIL</v>
      </c>
    </row>
    <row r="9" spans="1:15" ht="35.450000000000003" customHeight="1" x14ac:dyDescent="0.3">
      <c r="A9" s="11" t="s">
        <v>14</v>
      </c>
      <c r="B9" s="2" t="s">
        <v>58</v>
      </c>
      <c r="C9" s="2" t="s">
        <v>44</v>
      </c>
      <c r="D9" s="2">
        <v>7</v>
      </c>
      <c r="E9" s="2">
        <v>9</v>
      </c>
      <c r="F9" s="2" t="s">
        <v>15</v>
      </c>
      <c r="G9" s="2">
        <v>92</v>
      </c>
      <c r="H9" s="2">
        <v>89</v>
      </c>
      <c r="I9" s="2">
        <v>94</v>
      </c>
      <c r="J9" s="8">
        <f t="shared" si="0"/>
        <v>275</v>
      </c>
      <c r="K9" s="8" t="str">
        <f t="shared" si="1"/>
        <v>PASS</v>
      </c>
    </row>
    <row r="10" spans="1:15" ht="35.450000000000003" customHeight="1" x14ac:dyDescent="0.3">
      <c r="A10" s="11" t="s">
        <v>16</v>
      </c>
      <c r="B10" s="2" t="s">
        <v>59</v>
      </c>
      <c r="C10" s="2" t="s">
        <v>45</v>
      </c>
      <c r="D10" s="2">
        <v>8</v>
      </c>
      <c r="E10" s="2">
        <v>9</v>
      </c>
      <c r="F10" s="2" t="s">
        <v>17</v>
      </c>
      <c r="G10" s="2">
        <v>81</v>
      </c>
      <c r="H10" s="2">
        <v>77</v>
      </c>
      <c r="I10" s="2">
        <v>85</v>
      </c>
      <c r="J10" s="8">
        <f t="shared" si="0"/>
        <v>243</v>
      </c>
      <c r="K10" s="8" t="str">
        <f t="shared" si="1"/>
        <v>PASS</v>
      </c>
    </row>
    <row r="11" spans="1:15" ht="35.450000000000003" customHeight="1" x14ac:dyDescent="0.3">
      <c r="A11" s="11" t="s">
        <v>18</v>
      </c>
      <c r="B11" s="2" t="s">
        <v>60</v>
      </c>
      <c r="C11" s="2" t="s">
        <v>46</v>
      </c>
      <c r="D11" s="2">
        <v>9</v>
      </c>
      <c r="E11" s="2">
        <v>9</v>
      </c>
      <c r="F11" s="2" t="s">
        <v>19</v>
      </c>
      <c r="G11" s="2">
        <v>90</v>
      </c>
      <c r="H11" s="2">
        <v>88</v>
      </c>
      <c r="I11" s="2">
        <v>91</v>
      </c>
      <c r="J11" s="8">
        <f t="shared" si="0"/>
        <v>269</v>
      </c>
      <c r="K11" s="8" t="str">
        <f t="shared" si="1"/>
        <v>PASS</v>
      </c>
      <c r="N11" s="8" t="s">
        <v>85</v>
      </c>
      <c r="O11" s="8">
        <f>COUNTIF(K3:K17,"pass")</f>
        <v>13</v>
      </c>
    </row>
    <row r="12" spans="1:15" ht="35.450000000000003" customHeight="1" x14ac:dyDescent="0.3">
      <c r="A12" s="11" t="s">
        <v>20</v>
      </c>
      <c r="B12" s="2" t="s">
        <v>61</v>
      </c>
      <c r="C12" s="2" t="s">
        <v>47</v>
      </c>
      <c r="D12" s="2">
        <v>10</v>
      </c>
      <c r="E12" s="2">
        <v>9</v>
      </c>
      <c r="F12" s="2" t="s">
        <v>21</v>
      </c>
      <c r="G12" s="2">
        <v>74</v>
      </c>
      <c r="H12" s="2">
        <v>79</v>
      </c>
      <c r="I12" s="2">
        <v>82</v>
      </c>
      <c r="J12" s="8">
        <f>SUM(G12:I12)</f>
        <v>235</v>
      </c>
      <c r="K12" s="8" t="str">
        <f t="shared" si="1"/>
        <v>PASS</v>
      </c>
      <c r="N12" s="8" t="s">
        <v>86</v>
      </c>
      <c r="O12" s="8">
        <f>COUNTIF(K3:K17,"fail")</f>
        <v>2</v>
      </c>
    </row>
    <row r="13" spans="1:15" ht="35.450000000000003" customHeight="1" x14ac:dyDescent="0.3">
      <c r="A13" s="11" t="s">
        <v>22</v>
      </c>
      <c r="B13" s="2" t="s">
        <v>62</v>
      </c>
      <c r="C13" s="2" t="s">
        <v>48</v>
      </c>
      <c r="D13" s="2">
        <v>11</v>
      </c>
      <c r="E13" s="2">
        <v>9</v>
      </c>
      <c r="F13" s="2" t="s">
        <v>23</v>
      </c>
      <c r="G13" s="2">
        <v>86</v>
      </c>
      <c r="H13" s="2">
        <v>83</v>
      </c>
      <c r="I13" s="2">
        <v>88</v>
      </c>
      <c r="J13" s="8">
        <f t="shared" si="0"/>
        <v>257</v>
      </c>
      <c r="K13" s="8" t="str">
        <f>IF(J13&gt;=120,"PASS","FAIL")</f>
        <v>PASS</v>
      </c>
    </row>
    <row r="14" spans="1:15" ht="35.450000000000003" customHeight="1" x14ac:dyDescent="0.3">
      <c r="A14" s="11" t="s">
        <v>24</v>
      </c>
      <c r="B14" s="2" t="s">
        <v>63</v>
      </c>
      <c r="C14" s="2" t="s">
        <v>49</v>
      </c>
      <c r="D14" s="2">
        <v>12</v>
      </c>
      <c r="E14" s="2">
        <v>9</v>
      </c>
      <c r="F14" s="2" t="s">
        <v>25</v>
      </c>
      <c r="G14" s="2">
        <v>89</v>
      </c>
      <c r="H14" s="2">
        <v>91</v>
      </c>
      <c r="I14" s="2">
        <v>87</v>
      </c>
      <c r="J14" s="8">
        <f t="shared" si="0"/>
        <v>267</v>
      </c>
      <c r="K14" s="8" t="str">
        <f t="shared" si="1"/>
        <v>PASS</v>
      </c>
    </row>
    <row r="15" spans="1:15" ht="35.450000000000003" customHeight="1" x14ac:dyDescent="0.3">
      <c r="A15" s="11" t="s">
        <v>26</v>
      </c>
      <c r="B15" s="2" t="s">
        <v>64</v>
      </c>
      <c r="C15" s="2" t="s">
        <v>50</v>
      </c>
      <c r="D15" s="2">
        <v>13</v>
      </c>
      <c r="E15" s="2">
        <v>9</v>
      </c>
      <c r="F15" s="2" t="s">
        <v>70</v>
      </c>
      <c r="G15" s="2">
        <v>80</v>
      </c>
      <c r="H15" s="2">
        <v>85</v>
      </c>
      <c r="I15" s="2">
        <v>78</v>
      </c>
      <c r="J15" s="8">
        <f t="shared" si="0"/>
        <v>243</v>
      </c>
      <c r="K15" s="8" t="str">
        <f t="shared" si="1"/>
        <v>PASS</v>
      </c>
    </row>
    <row r="16" spans="1:15" ht="35.450000000000003" customHeight="1" x14ac:dyDescent="0.3">
      <c r="A16" s="11" t="s">
        <v>27</v>
      </c>
      <c r="B16" s="2" t="s">
        <v>65</v>
      </c>
      <c r="C16" s="2" t="s">
        <v>51</v>
      </c>
      <c r="D16" s="2">
        <v>14</v>
      </c>
      <c r="E16" s="2">
        <v>9</v>
      </c>
      <c r="F16" s="2" t="s">
        <v>28</v>
      </c>
      <c r="G16" s="2">
        <v>93</v>
      </c>
      <c r="H16" s="2">
        <v>90</v>
      </c>
      <c r="I16" s="2">
        <v>92</v>
      </c>
      <c r="J16" s="8">
        <f t="shared" si="0"/>
        <v>275</v>
      </c>
      <c r="K16" s="8" t="str">
        <f t="shared" si="1"/>
        <v>PASS</v>
      </c>
    </row>
    <row r="17" spans="1:11" ht="35.450000000000003" customHeight="1" x14ac:dyDescent="0.3">
      <c r="A17" s="12" t="s">
        <v>29</v>
      </c>
      <c r="B17" s="13" t="s">
        <v>66</v>
      </c>
      <c r="C17" s="13" t="s">
        <v>52</v>
      </c>
      <c r="D17" s="13">
        <v>15</v>
      </c>
      <c r="E17" s="13">
        <v>9</v>
      </c>
      <c r="F17" s="13" t="s">
        <v>30</v>
      </c>
      <c r="G17" s="13">
        <v>87</v>
      </c>
      <c r="H17" s="13">
        <v>84</v>
      </c>
      <c r="I17" s="13">
        <v>89</v>
      </c>
      <c r="J17" s="14">
        <f t="shared" si="0"/>
        <v>260</v>
      </c>
      <c r="K17" s="14" t="str">
        <f t="shared" si="1"/>
        <v>PASS</v>
      </c>
    </row>
  </sheetData>
  <mergeCells count="2">
    <mergeCell ref="N6:O6"/>
    <mergeCell ref="N7:O7"/>
  </mergeCells>
  <conditionalFormatting sqref="G3:I17">
    <cfRule type="cellIs" dxfId="0" priority="1" operator="lessThan">
      <formula>40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DC46-A407-4950-B97B-A2E778390B46}">
  <dimension ref="A1:O17"/>
  <sheetViews>
    <sheetView topLeftCell="B1" zoomScale="50" zoomScaleNormal="50" workbookViewId="0">
      <selection activeCell="K9" sqref="K9"/>
    </sheetView>
  </sheetViews>
  <sheetFormatPr defaultRowHeight="20.25" x14ac:dyDescent="0.3"/>
  <cols>
    <col min="1" max="1" width="37.83203125" style="4" customWidth="1"/>
    <col min="2" max="10" width="13.5" style="4" customWidth="1"/>
    <col min="11" max="11" width="15" style="4" customWidth="1"/>
    <col min="12" max="12" width="11.1640625" style="4" customWidth="1"/>
    <col min="13" max="13" width="8.6640625" style="4"/>
    <col min="14" max="14" width="9.75" style="4" bestFit="1" customWidth="1"/>
    <col min="15" max="15" width="4.08203125" style="4" bestFit="1" customWidth="1"/>
    <col min="16" max="16384" width="8.6640625" style="4"/>
  </cols>
  <sheetData>
    <row r="1" spans="1:15" ht="30" x14ac:dyDescent="0.3">
      <c r="A1" s="9" t="s">
        <v>34</v>
      </c>
      <c r="B1" s="9" t="s">
        <v>74</v>
      </c>
      <c r="C1" s="9" t="s">
        <v>75</v>
      </c>
      <c r="D1" s="9" t="s">
        <v>76</v>
      </c>
      <c r="E1" s="9" t="s">
        <v>77</v>
      </c>
      <c r="F1" s="9" t="s">
        <v>78</v>
      </c>
      <c r="G1" s="9" t="s">
        <v>79</v>
      </c>
      <c r="H1" s="9" t="s">
        <v>80</v>
      </c>
      <c r="I1" s="9" t="s">
        <v>81</v>
      </c>
      <c r="J1" s="9" t="s">
        <v>82</v>
      </c>
      <c r="K1" s="9" t="s">
        <v>83</v>
      </c>
      <c r="L1" s="4" t="s">
        <v>84</v>
      </c>
    </row>
    <row r="2" spans="1:15" ht="46.5" x14ac:dyDescent="0.3">
      <c r="A2" s="10" t="s">
        <v>0</v>
      </c>
      <c r="B2" s="3" t="s">
        <v>35</v>
      </c>
      <c r="C2" s="3" t="s">
        <v>36</v>
      </c>
      <c r="D2" s="3" t="s">
        <v>1</v>
      </c>
      <c r="E2" s="3" t="s">
        <v>2</v>
      </c>
      <c r="F2" s="3" t="s">
        <v>3</v>
      </c>
      <c r="G2" s="1" t="s">
        <v>31</v>
      </c>
      <c r="H2" s="1" t="s">
        <v>32</v>
      </c>
      <c r="I2" s="1" t="s">
        <v>33</v>
      </c>
      <c r="J2" s="7" t="s">
        <v>67</v>
      </c>
      <c r="K2" s="7" t="s">
        <v>68</v>
      </c>
      <c r="L2" s="7" t="s">
        <v>71</v>
      </c>
    </row>
    <row r="3" spans="1:15" x14ac:dyDescent="0.3">
      <c r="A3" s="11" t="s">
        <v>4</v>
      </c>
      <c r="B3" s="2" t="s">
        <v>37</v>
      </c>
      <c r="C3" s="2" t="s">
        <v>38</v>
      </c>
      <c r="D3" s="2">
        <v>1</v>
      </c>
      <c r="E3" s="2">
        <v>9</v>
      </c>
      <c r="F3" s="2" t="s">
        <v>70</v>
      </c>
      <c r="G3" s="2">
        <v>78</v>
      </c>
      <c r="H3" s="2">
        <v>82</v>
      </c>
      <c r="I3" s="2">
        <v>75</v>
      </c>
      <c r="J3" s="8">
        <f>SUM(G3:I3)</f>
        <v>235</v>
      </c>
      <c r="K3" s="8" t="str">
        <f>IF(J3&gt;=120,"PASS","FAIL")</f>
        <v>PASS</v>
      </c>
      <c r="L3" s="8">
        <f>AVERAGE(G3:I3)</f>
        <v>78.333333333333329</v>
      </c>
    </row>
    <row r="4" spans="1:15" x14ac:dyDescent="0.3">
      <c r="A4" s="11" t="s">
        <v>5</v>
      </c>
      <c r="B4" s="2" t="s">
        <v>53</v>
      </c>
      <c r="C4" s="2" t="s">
        <v>39</v>
      </c>
      <c r="D4" s="2">
        <v>2</v>
      </c>
      <c r="E4" s="2">
        <v>9</v>
      </c>
      <c r="F4" s="2" t="s">
        <v>6</v>
      </c>
      <c r="G4" s="2">
        <v>85</v>
      </c>
      <c r="H4" s="2">
        <v>10</v>
      </c>
      <c r="I4" s="2">
        <v>88</v>
      </c>
      <c r="J4" s="8">
        <f t="shared" ref="J4:J17" si="0">SUM(G4:I4)</f>
        <v>183</v>
      </c>
      <c r="K4" s="8" t="str">
        <f t="shared" ref="K4:K17" si="1">IF(J4&gt;=120,"PASS","FAIL")</f>
        <v>PASS</v>
      </c>
      <c r="L4" s="8">
        <f t="shared" ref="L4:L17" si="2">AVERAGE(G4:I4)</f>
        <v>61</v>
      </c>
    </row>
    <row r="5" spans="1:15" x14ac:dyDescent="0.3">
      <c r="A5" s="11" t="s">
        <v>7</v>
      </c>
      <c r="B5" s="2" t="s">
        <v>54</v>
      </c>
      <c r="C5" s="2" t="s">
        <v>40</v>
      </c>
      <c r="D5" s="2">
        <v>3</v>
      </c>
      <c r="E5" s="2">
        <v>9</v>
      </c>
      <c r="F5" s="2" t="s">
        <v>8</v>
      </c>
      <c r="G5" s="2">
        <v>90</v>
      </c>
      <c r="H5" s="2">
        <v>92</v>
      </c>
      <c r="I5" s="2">
        <v>86</v>
      </c>
      <c r="J5" s="8">
        <f t="shared" si="0"/>
        <v>268</v>
      </c>
      <c r="K5" s="8" t="str">
        <f t="shared" si="1"/>
        <v>PASS</v>
      </c>
      <c r="L5" s="8">
        <f t="shared" si="2"/>
        <v>89.333333333333329</v>
      </c>
      <c r="N5" s="8" t="s">
        <v>72</v>
      </c>
      <c r="O5" s="8">
        <f>MAX(J3:J17)</f>
        <v>275</v>
      </c>
    </row>
    <row r="6" spans="1:15" x14ac:dyDescent="0.3">
      <c r="A6" s="11" t="s">
        <v>9</v>
      </c>
      <c r="B6" s="2" t="s">
        <v>55</v>
      </c>
      <c r="C6" s="2" t="s">
        <v>41</v>
      </c>
      <c r="D6" s="2">
        <v>4</v>
      </c>
      <c r="E6" s="2">
        <v>9</v>
      </c>
      <c r="F6" s="2" t="s">
        <v>10</v>
      </c>
      <c r="G6" s="2">
        <v>50</v>
      </c>
      <c r="H6" s="2">
        <v>10</v>
      </c>
      <c r="I6" s="2">
        <v>40</v>
      </c>
      <c r="J6" s="8">
        <f t="shared" si="0"/>
        <v>100</v>
      </c>
      <c r="K6" s="8" t="str">
        <f t="shared" si="1"/>
        <v>FAIL</v>
      </c>
      <c r="L6" s="8">
        <f t="shared" si="2"/>
        <v>33.333333333333336</v>
      </c>
      <c r="N6" s="8" t="s">
        <v>73</v>
      </c>
      <c r="O6" s="8">
        <f>MIN(J4:J18)</f>
        <v>50</v>
      </c>
    </row>
    <row r="7" spans="1:15" x14ac:dyDescent="0.3">
      <c r="A7" s="11" t="s">
        <v>11</v>
      </c>
      <c r="B7" s="2" t="s">
        <v>56</v>
      </c>
      <c r="C7" s="2" t="s">
        <v>42</v>
      </c>
      <c r="D7" s="2">
        <v>5</v>
      </c>
      <c r="E7" s="2">
        <v>9</v>
      </c>
      <c r="F7" s="2" t="s">
        <v>70</v>
      </c>
      <c r="G7" s="2">
        <v>88</v>
      </c>
      <c r="H7" s="2">
        <v>84</v>
      </c>
      <c r="I7" s="2">
        <v>79</v>
      </c>
      <c r="J7" s="8">
        <f t="shared" si="0"/>
        <v>251</v>
      </c>
      <c r="K7" s="8" t="str">
        <f t="shared" si="1"/>
        <v>PASS</v>
      </c>
      <c r="L7" s="8">
        <f t="shared" si="2"/>
        <v>83.666666666666671</v>
      </c>
    </row>
    <row r="8" spans="1:15" x14ac:dyDescent="0.3">
      <c r="A8" s="11" t="s">
        <v>12</v>
      </c>
      <c r="B8" s="2" t="s">
        <v>57</v>
      </c>
      <c r="C8" s="2" t="s">
        <v>43</v>
      </c>
      <c r="D8" s="2">
        <v>6</v>
      </c>
      <c r="E8" s="2">
        <v>9</v>
      </c>
      <c r="F8" s="2" t="s">
        <v>13</v>
      </c>
      <c r="G8" s="2">
        <v>20</v>
      </c>
      <c r="H8" s="2">
        <v>10</v>
      </c>
      <c r="I8" s="2">
        <v>20</v>
      </c>
      <c r="J8" s="8">
        <f t="shared" si="0"/>
        <v>50</v>
      </c>
      <c r="K8" s="8" t="str">
        <f t="shared" si="1"/>
        <v>FAIL</v>
      </c>
      <c r="L8" s="8">
        <f t="shared" si="2"/>
        <v>16.666666666666668</v>
      </c>
    </row>
    <row r="9" spans="1:15" x14ac:dyDescent="0.3">
      <c r="A9" s="11" t="s">
        <v>14</v>
      </c>
      <c r="B9" s="2" t="s">
        <v>58</v>
      </c>
      <c r="C9" s="2" t="s">
        <v>44</v>
      </c>
      <c r="D9" s="2">
        <v>7</v>
      </c>
      <c r="E9" s="2">
        <v>9</v>
      </c>
      <c r="F9" s="2" t="s">
        <v>15</v>
      </c>
      <c r="G9" s="2">
        <v>92</v>
      </c>
      <c r="H9" s="2">
        <v>89</v>
      </c>
      <c r="I9" s="2">
        <v>94</v>
      </c>
      <c r="J9" s="8">
        <f t="shared" si="0"/>
        <v>275</v>
      </c>
      <c r="K9" s="8" t="str">
        <f t="shared" si="1"/>
        <v>PASS</v>
      </c>
      <c r="L9" s="8">
        <f t="shared" si="2"/>
        <v>91.666666666666671</v>
      </c>
    </row>
    <row r="10" spans="1:15" x14ac:dyDescent="0.3">
      <c r="A10" s="11" t="s">
        <v>16</v>
      </c>
      <c r="B10" s="2" t="s">
        <v>59</v>
      </c>
      <c r="C10" s="2" t="s">
        <v>45</v>
      </c>
      <c r="D10" s="2">
        <v>8</v>
      </c>
      <c r="E10" s="2">
        <v>9</v>
      </c>
      <c r="F10" s="2" t="s">
        <v>17</v>
      </c>
      <c r="G10" s="2">
        <v>81</v>
      </c>
      <c r="H10" s="2">
        <v>77</v>
      </c>
      <c r="I10" s="2">
        <v>85</v>
      </c>
      <c r="J10" s="8">
        <f t="shared" si="0"/>
        <v>243</v>
      </c>
      <c r="K10" s="8" t="str">
        <f t="shared" si="1"/>
        <v>PASS</v>
      </c>
      <c r="L10" s="8">
        <f t="shared" si="2"/>
        <v>81</v>
      </c>
    </row>
    <row r="11" spans="1:15" x14ac:dyDescent="0.3">
      <c r="A11" s="11" t="s">
        <v>18</v>
      </c>
      <c r="B11" s="2" t="s">
        <v>60</v>
      </c>
      <c r="C11" s="2" t="s">
        <v>46</v>
      </c>
      <c r="D11" s="2">
        <v>9</v>
      </c>
      <c r="E11" s="2">
        <v>9</v>
      </c>
      <c r="F11" s="2" t="s">
        <v>19</v>
      </c>
      <c r="G11" s="2">
        <v>90</v>
      </c>
      <c r="H11" s="2">
        <v>88</v>
      </c>
      <c r="I11" s="2">
        <v>91</v>
      </c>
      <c r="J11" s="8">
        <f t="shared" si="0"/>
        <v>269</v>
      </c>
      <c r="K11" s="8" t="str">
        <f t="shared" si="1"/>
        <v>PASS</v>
      </c>
      <c r="L11" s="8">
        <f t="shared" si="2"/>
        <v>89.666666666666671</v>
      </c>
    </row>
    <row r="12" spans="1:15" x14ac:dyDescent="0.3">
      <c r="A12" s="11" t="s">
        <v>20</v>
      </c>
      <c r="B12" s="2" t="s">
        <v>61</v>
      </c>
      <c r="C12" s="2" t="s">
        <v>47</v>
      </c>
      <c r="D12" s="2">
        <v>10</v>
      </c>
      <c r="E12" s="2">
        <v>9</v>
      </c>
      <c r="F12" s="2" t="s">
        <v>21</v>
      </c>
      <c r="G12" s="2">
        <v>74</v>
      </c>
      <c r="H12" s="2">
        <v>79</v>
      </c>
      <c r="I12" s="2">
        <v>82</v>
      </c>
      <c r="J12" s="8">
        <f>SUM(G12:I12)</f>
        <v>235</v>
      </c>
      <c r="K12" s="8" t="str">
        <f t="shared" si="1"/>
        <v>PASS</v>
      </c>
      <c r="L12" s="8">
        <f t="shared" si="2"/>
        <v>78.333333333333329</v>
      </c>
    </row>
    <row r="13" spans="1:15" x14ac:dyDescent="0.3">
      <c r="A13" s="11" t="s">
        <v>22</v>
      </c>
      <c r="B13" s="2" t="s">
        <v>62</v>
      </c>
      <c r="C13" s="2" t="s">
        <v>48</v>
      </c>
      <c r="D13" s="2">
        <v>11</v>
      </c>
      <c r="E13" s="2">
        <v>9</v>
      </c>
      <c r="F13" s="2" t="s">
        <v>23</v>
      </c>
      <c r="G13" s="2">
        <v>86</v>
      </c>
      <c r="H13" s="2">
        <v>83</v>
      </c>
      <c r="I13" s="2">
        <v>88</v>
      </c>
      <c r="J13" s="8">
        <f t="shared" si="0"/>
        <v>257</v>
      </c>
      <c r="K13" s="8" t="str">
        <f>IF(J13&gt;=120,"PASS","FAIL")</f>
        <v>PASS</v>
      </c>
      <c r="L13" s="8">
        <f t="shared" si="2"/>
        <v>85.666666666666671</v>
      </c>
    </row>
    <row r="14" spans="1:15" x14ac:dyDescent="0.3">
      <c r="A14" s="11" t="s">
        <v>24</v>
      </c>
      <c r="B14" s="2" t="s">
        <v>63</v>
      </c>
      <c r="C14" s="2" t="s">
        <v>49</v>
      </c>
      <c r="D14" s="2">
        <v>12</v>
      </c>
      <c r="E14" s="2">
        <v>9</v>
      </c>
      <c r="F14" s="2" t="s">
        <v>25</v>
      </c>
      <c r="G14" s="2">
        <v>89</v>
      </c>
      <c r="H14" s="2">
        <v>91</v>
      </c>
      <c r="I14" s="2">
        <v>87</v>
      </c>
      <c r="J14" s="8">
        <f t="shared" si="0"/>
        <v>267</v>
      </c>
      <c r="K14" s="8" t="str">
        <f t="shared" si="1"/>
        <v>PASS</v>
      </c>
      <c r="L14" s="8">
        <f t="shared" si="2"/>
        <v>89</v>
      </c>
    </row>
    <row r="15" spans="1:15" x14ac:dyDescent="0.3">
      <c r="A15" s="11" t="s">
        <v>26</v>
      </c>
      <c r="B15" s="2" t="s">
        <v>64</v>
      </c>
      <c r="C15" s="2" t="s">
        <v>50</v>
      </c>
      <c r="D15" s="2">
        <v>13</v>
      </c>
      <c r="E15" s="2">
        <v>9</v>
      </c>
      <c r="F15" s="2" t="s">
        <v>70</v>
      </c>
      <c r="G15" s="2">
        <v>80</v>
      </c>
      <c r="H15" s="2">
        <v>85</v>
      </c>
      <c r="I15" s="2">
        <v>78</v>
      </c>
      <c r="J15" s="8">
        <f t="shared" si="0"/>
        <v>243</v>
      </c>
      <c r="K15" s="8" t="str">
        <f t="shared" si="1"/>
        <v>PASS</v>
      </c>
      <c r="L15" s="8">
        <f t="shared" si="2"/>
        <v>81</v>
      </c>
    </row>
    <row r="16" spans="1:15" x14ac:dyDescent="0.3">
      <c r="A16" s="11" t="s">
        <v>27</v>
      </c>
      <c r="B16" s="2" t="s">
        <v>65</v>
      </c>
      <c r="C16" s="2" t="s">
        <v>51</v>
      </c>
      <c r="D16" s="2">
        <v>14</v>
      </c>
      <c r="E16" s="2">
        <v>9</v>
      </c>
      <c r="F16" s="2" t="s">
        <v>28</v>
      </c>
      <c r="G16" s="2">
        <v>93</v>
      </c>
      <c r="H16" s="2">
        <v>90</v>
      </c>
      <c r="I16" s="2">
        <v>92</v>
      </c>
      <c r="J16" s="8">
        <f t="shared" si="0"/>
        <v>275</v>
      </c>
      <c r="K16" s="8" t="str">
        <f t="shared" si="1"/>
        <v>PASS</v>
      </c>
      <c r="L16" s="8">
        <f t="shared" si="2"/>
        <v>91.666666666666671</v>
      </c>
    </row>
    <row r="17" spans="1:12" x14ac:dyDescent="0.3">
      <c r="A17" s="12" t="s">
        <v>29</v>
      </c>
      <c r="B17" s="13" t="s">
        <v>66</v>
      </c>
      <c r="C17" s="13" t="s">
        <v>52</v>
      </c>
      <c r="D17" s="13">
        <v>15</v>
      </c>
      <c r="E17" s="13">
        <v>9</v>
      </c>
      <c r="F17" s="13" t="s">
        <v>30</v>
      </c>
      <c r="G17" s="13">
        <v>87</v>
      </c>
      <c r="H17" s="13">
        <v>84</v>
      </c>
      <c r="I17" s="13">
        <v>89</v>
      </c>
      <c r="J17" s="14">
        <f t="shared" si="0"/>
        <v>260</v>
      </c>
      <c r="K17" s="14" t="str">
        <f t="shared" si="1"/>
        <v>PASS</v>
      </c>
      <c r="L17" s="14">
        <f t="shared" si="2"/>
        <v>86.666666666666671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22BB-5CA2-4B44-A925-5992DBAC92F0}">
  <dimension ref="A1"/>
  <sheetViews>
    <sheetView tabSelected="1" workbookViewId="0">
      <selection activeCell="L6" sqref="L6"/>
    </sheetView>
  </sheetViews>
  <sheetFormatPr defaultRowHeight="20.25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Student_Data</vt:lpstr>
      <vt:lpstr>Marks_Analysis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Shambhu Ray</cp:lastModifiedBy>
  <dcterms:created xsi:type="dcterms:W3CDTF">2025-12-21T10:26:24Z</dcterms:created>
  <dcterms:modified xsi:type="dcterms:W3CDTF">2025-12-30T06:33:23Z</dcterms:modified>
</cp:coreProperties>
</file>